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eb0c886104ccbe78/Work folder/Collage/Practic/Excel/"/>
    </mc:Choice>
  </mc:AlternateContent>
  <xr:revisionPtr revIDLastSave="37" documentId="8_{2C1677A9-363C-4C03-BAE2-D2301A116A97}" xr6:coauthVersionLast="47" xr6:coauthVersionMax="47" xr10:uidLastSave="{DB9245F3-F810-4FE3-9477-0490DC50E8B3}"/>
  <bookViews>
    <workbookView xWindow="-120" yWindow="-120" windowWidth="29040" windowHeight="15720" firstSheet="3" activeTab="6" xr2:uid="{00000000-000D-0000-FFFF-FFFF00000000}"/>
  </bookViews>
  <sheets>
    <sheet name="ПР 8.1" sheetId="1" r:id="rId1"/>
    <sheet name="ПР 8.2" sheetId="2" r:id="rId2"/>
    <sheet name="ПР 9.1" sheetId="3" r:id="rId3"/>
    <sheet name="ПР 9.2" sheetId="5" r:id="rId4"/>
    <sheet name="ПР 9.3" sheetId="6" r:id="rId5"/>
    <sheet name="ПР 9.4" sheetId="7" r:id="rId6"/>
    <sheet name="ПР 10" sheetId="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F3" i="4"/>
  <c r="G3" i="4"/>
  <c r="H3" i="4"/>
  <c r="I3" i="4" s="1"/>
  <c r="J3" i="4" s="1"/>
  <c r="K3" i="4" s="1"/>
  <c r="L3" i="4" s="1"/>
  <c r="M3" i="4" s="1"/>
  <c r="N3" i="4" s="1"/>
  <c r="E4" i="4"/>
  <c r="F4" i="4"/>
  <c r="G4" i="4" s="1"/>
  <c r="H4" i="4" s="1"/>
  <c r="I4" i="4" s="1"/>
  <c r="J4" i="4" s="1"/>
  <c r="K4" i="4" s="1"/>
  <c r="L4" i="4" s="1"/>
  <c r="M4" i="4" s="1"/>
  <c r="N4" i="4" s="1"/>
  <c r="E5" i="4"/>
  <c r="F5" i="4"/>
  <c r="G5" i="4"/>
  <c r="H5" i="4"/>
  <c r="I5" i="4" s="1"/>
  <c r="J5" i="4" s="1"/>
  <c r="K5" i="4" s="1"/>
  <c r="L5" i="4" s="1"/>
  <c r="M5" i="4" s="1"/>
  <c r="N5" i="4" s="1"/>
  <c r="E6" i="4"/>
  <c r="F6" i="4"/>
  <c r="G6" i="4" s="1"/>
  <c r="H6" i="4" s="1"/>
  <c r="I6" i="4" s="1"/>
  <c r="J6" i="4" s="1"/>
  <c r="K6" i="4" s="1"/>
  <c r="L6" i="4" s="1"/>
  <c r="M6" i="4" s="1"/>
  <c r="N6" i="4" s="1"/>
  <c r="E7" i="4"/>
  <c r="F7" i="4"/>
  <c r="G7" i="4"/>
  <c r="H7" i="4"/>
  <c r="I7" i="4" s="1"/>
  <c r="J7" i="4" s="1"/>
  <c r="K7" i="4" s="1"/>
  <c r="L7" i="4" s="1"/>
  <c r="M7" i="4" s="1"/>
  <c r="N7" i="4" s="1"/>
  <c r="E8" i="4"/>
  <c r="F8" i="4"/>
  <c r="G8" i="4" s="1"/>
  <c r="H8" i="4" s="1"/>
  <c r="I8" i="4" s="1"/>
  <c r="J8" i="4" s="1"/>
  <c r="K8" i="4" s="1"/>
  <c r="L8" i="4" s="1"/>
  <c r="M8" i="4" s="1"/>
  <c r="N8" i="4" s="1"/>
  <c r="E9" i="4"/>
  <c r="F9" i="4"/>
  <c r="G9" i="4"/>
  <c r="H9" i="4"/>
  <c r="I9" i="4" s="1"/>
  <c r="J9" i="4" s="1"/>
  <c r="K9" i="4" s="1"/>
  <c r="L9" i="4" s="1"/>
  <c r="M9" i="4" s="1"/>
  <c r="N9" i="4" s="1"/>
  <c r="F2" i="4"/>
  <c r="G2" i="4" s="1"/>
  <c r="H2" i="4" s="1"/>
  <c r="I2" i="4" s="1"/>
  <c r="J2" i="4" s="1"/>
  <c r="K2" i="4" s="1"/>
  <c r="L2" i="4" s="1"/>
  <c r="M2" i="4" s="1"/>
  <c r="N2" i="4" s="1"/>
  <c r="E2" i="4"/>
  <c r="D9" i="4"/>
  <c r="D8" i="4"/>
  <c r="D7" i="4"/>
  <c r="D4" i="4"/>
  <c r="D5" i="4"/>
  <c r="D6" i="4"/>
  <c r="D3" i="4"/>
  <c r="D2" i="4"/>
  <c r="E8" i="7"/>
  <c r="E7" i="7"/>
  <c r="E6" i="7"/>
  <c r="D8" i="7"/>
  <c r="D7" i="7"/>
  <c r="D6" i="7"/>
  <c r="F6" i="6"/>
  <c r="E6" i="6"/>
  <c r="F2" i="6"/>
  <c r="E2" i="6"/>
  <c r="D3" i="6"/>
  <c r="D4" i="6"/>
  <c r="D5" i="6"/>
  <c r="D6" i="6"/>
  <c r="D7" i="6"/>
  <c r="D8" i="6"/>
  <c r="D2" i="6"/>
  <c r="E4" i="5"/>
  <c r="E3" i="5"/>
  <c r="E2" i="5"/>
  <c r="F8" i="2" a="1"/>
  <c r="F9" i="2" a="1"/>
  <c r="C5" i="2" a="1"/>
  <c r="B3" i="1" a="1"/>
  <c r="C6" i="2" a="1"/>
  <c r="F3" i="2" a="1"/>
  <c r="F5" i="2" a="1"/>
  <c r="C3" i="2" a="1"/>
  <c r="C9" i="2" a="1"/>
  <c r="C8" i="2" a="1"/>
  <c r="C4" i="2" a="1"/>
  <c r="C2" i="2" a="1"/>
  <c r="F4" i="2" a="1"/>
  <c r="F6" i="2" a="1"/>
  <c r="F2" i="2" a="1"/>
  <c r="C7" i="2" a="1"/>
  <c r="F7" i="2" a="1"/>
  <c r="F9" i="2" l="1"/>
  <c r="F7" i="2"/>
  <c r="F5" i="2"/>
  <c r="F3" i="2"/>
  <c r="F8" i="2"/>
  <c r="F6" i="2"/>
  <c r="F4" i="2"/>
  <c r="F2" i="2"/>
  <c r="C9" i="2"/>
  <c r="C7" i="2"/>
  <c r="C5" i="2"/>
  <c r="C8" i="2"/>
  <c r="C6" i="2"/>
  <c r="C4" i="2"/>
  <c r="C3" i="2"/>
  <c r="C2" i="2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<sst xmlns="http://schemas.openxmlformats.org/spreadsheetml/2006/main" count="90" uniqueCount="76">
  <si>
    <t>яблуко</t>
  </si>
  <si>
    <t>Фруктовий словник</t>
  </si>
  <si>
    <t>Фрукт</t>
  </si>
  <si>
    <t>Переклад</t>
  </si>
  <si>
    <t>Назва продукту</t>
  </si>
  <si>
    <t>Категорія продукту</t>
  </si>
  <si>
    <t>Одиниці вимірювання</t>
  </si>
  <si>
    <t>Ціна за одиницю ум. од.</t>
  </si>
  <si>
    <t>Обсяг</t>
  </si>
  <si>
    <t>Вартість</t>
  </si>
  <si>
    <t>Буряк</t>
  </si>
  <si>
    <t>Гречка</t>
  </si>
  <si>
    <t>Картопля</t>
  </si>
  <si>
    <t>Кава</t>
  </si>
  <si>
    <t>Горошок консервований</t>
  </si>
  <si>
    <t>Пшоно</t>
  </si>
  <si>
    <t>Закарпатська випічка</t>
  </si>
  <si>
    <t>Оливкова олія</t>
  </si>
  <si>
    <t>овочі</t>
  </si>
  <si>
    <t>крупа</t>
  </si>
  <si>
    <t>напій</t>
  </si>
  <si>
    <t>олія</t>
  </si>
  <si>
    <t>хліб</t>
  </si>
  <si>
    <t>Період</t>
  </si>
  <si>
    <t>Баланс товарів та послуг, млн. дол. США</t>
  </si>
  <si>
    <t>січень-березень 2012</t>
  </si>
  <si>
    <t>квітень-червень 2012</t>
  </si>
  <si>
    <t>січень-березень 2013</t>
  </si>
  <si>
    <t>квітень-червень 2013</t>
  </si>
  <si>
    <t>липень-вересень 2012</t>
  </si>
  <si>
    <t>жовтень-грудень 2012</t>
  </si>
  <si>
    <t>липень-вересень 2013</t>
  </si>
  <si>
    <t>жовтень-грудень 2013</t>
  </si>
  <si>
    <t>ПІБ</t>
  </si>
  <si>
    <t>Зарплата</t>
  </si>
  <si>
    <t>Іванов</t>
  </si>
  <si>
    <t>Сидоров</t>
  </si>
  <si>
    <t>Морозов</t>
  </si>
  <si>
    <t>Жаріков</t>
  </si>
  <si>
    <t>Теплов</t>
  </si>
  <si>
    <t>Петров</t>
  </si>
  <si>
    <t>Віртуальнов</t>
  </si>
  <si>
    <t>Зарплата, грн.</t>
  </si>
  <si>
    <t>1500 і більше</t>
  </si>
  <si>
    <t>менше 2500</t>
  </si>
  <si>
    <t>рівно 1000</t>
  </si>
  <si>
    <t>Кількість</t>
  </si>
  <si>
    <t>Працівник</t>
  </si>
  <si>
    <t>Зарплата, гр. од.</t>
  </si>
  <si>
    <t>Премія гр. од.</t>
  </si>
  <si>
    <t>Всього до виплати, гр. од.</t>
  </si>
  <si>
    <t>Сума виплат
працівникам,
які одержали
зарплату і
премію, сума
(гр. од.)</t>
  </si>
  <si>
    <r>
      <t xml:space="preserve">Сума виплат
працівникам, які
</t>
    </r>
    <r>
      <rPr>
        <b/>
        <sz val="14"/>
        <color theme="1"/>
        <rFont val="Times New Roman"/>
        <family val="1"/>
        <charset val="204"/>
      </rPr>
      <t>не</t>
    </r>
    <r>
      <rPr>
        <sz val="14"/>
        <color theme="1"/>
        <rFont val="Times New Roman"/>
        <family val="1"/>
        <charset val="204"/>
      </rPr>
      <t xml:space="preserve"> одержали
зарплату і
премію, сума
(гр. од.)</t>
    </r>
  </si>
  <si>
    <t>Всього таких
працівників,
осіб</t>
  </si>
  <si>
    <t>Всього таких
працівників, осіб</t>
  </si>
  <si>
    <t>Повар</t>
  </si>
  <si>
    <t>Вид морозива</t>
  </si>
  <si>
    <t>Обсяг виготовленої продукції, од.</t>
  </si>
  <si>
    <t>Вартість виготовленої продукції, гр. од.</t>
  </si>
  <si>
    <t>Преміальна сума, гр. од</t>
  </si>
  <si>
    <t>пломбір</t>
  </si>
  <si>
    <t>пломбір особливий</t>
  </si>
  <si>
    <t>Ціна одиниці продукції, гр. од.</t>
  </si>
  <si>
    <r>
      <t xml:space="preserve">Преміальні </t>
    </r>
    <r>
      <rPr>
        <b/>
        <sz val="14"/>
        <color theme="1"/>
        <rFont val="Times New Roman"/>
        <family val="1"/>
        <charset val="204"/>
      </rPr>
      <t>морозиво та пломбір особливий</t>
    </r>
  </si>
  <si>
    <r>
      <t xml:space="preserve">Преміальні </t>
    </r>
    <r>
      <rPr>
        <b/>
        <sz val="14"/>
        <color theme="1"/>
        <rFont val="Times New Roman"/>
        <family val="1"/>
        <charset val="204"/>
      </rPr>
      <t>морозиво та пломбір</t>
    </r>
  </si>
  <si>
    <t>№ п/п</t>
  </si>
  <si>
    <t>Прізвище, ім'я, по батькові</t>
  </si>
  <si>
    <t>Дата народження</t>
  </si>
  <si>
    <t>Денисов Олексій</t>
  </si>
  <si>
    <t>Корольова Анастасія</t>
  </si>
  <si>
    <t>Бахтіяров Армен</t>
  </si>
  <si>
    <t>Кондратенко Владлен</t>
  </si>
  <si>
    <t>Кириленко Оксана</t>
  </si>
  <si>
    <t>Михайленко Денис</t>
  </si>
  <si>
    <t>Копил Максим</t>
  </si>
  <si>
    <t>Петренко Єгор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</si>
</sst>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yyyy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/>
    <xf numFmtId="0" fontId="1" fillId="0" borderId="0" xfId="0" applyFont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vertical="top" wrapText="1"/>
    </xf>
    <xf numFmtId="2" fontId="1" fillId="0" borderId="1" xfId="0" applyNumberFormat="1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center" vertical="top" wrapText="1"/>
    </xf>
    <xf numFmtId="1" fontId="1" fillId="0" borderId="1" xfId="0" applyNumberFormat="1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 wrapText="1"/>
    </xf>
    <xf numFmtId="14" fontId="1" fillId="0" borderId="1" xfId="0" applyNumberFormat="1" applyFont="1" applyBorder="1" applyAlignment="1">
      <alignment horizontal="center" wrapText="1"/>
    </xf>
    <xf numFmtId="165" fontId="1" fillId="0" borderId="1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 wrapText="1"/>
    </xf>
    <xf numFmtId="2" fontId="1" fillId="0" borderId="7" xfId="0" applyNumberFormat="1" applyFont="1" applyBorder="1" applyAlignment="1">
      <alignment horizontal="center" wrapText="1"/>
    </xf>
    <xf numFmtId="10" fontId="1" fillId="0" borderId="6" xfId="0" applyNumberFormat="1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9" fontId="1" fillId="0" borderId="6" xfId="0" applyNumberFormat="1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1" xfId="0" applyNumberFormat="1" applyFont="1" applyBorder="1" applyAlignment="1">
      <alignment wrapText="1"/>
    </xf>
  </cellXfs>
  <cellStyles count="1">
    <cellStyle name="Звичайний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E02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10/relationships/person" Target="persons/person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10/relationships/person" Target="persons/pers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B3"/>
  <sheetViews>
    <sheetView workbookViewId="0">
      <selection activeCell="G10" sqref="G10"/>
    </sheetView>
  </sheetViews>
  <sheetFormatPr defaultColWidth="9.140625" defaultRowHeight="18.75" x14ac:dyDescent="0.3"/>
  <cols>
    <col min="1" max="2" width="19.42578125" style="2" customWidth="1"/>
    <col min="3" max="16384" width="9.140625" style="2"/>
  </cols>
  <sheetData>
    <row r="1" spans="1:2" x14ac:dyDescent="0.3">
      <c r="A1" s="20" t="s">
        <v>1</v>
      </c>
      <c r="B1" s="20"/>
    </row>
    <row r="2" spans="1:2" x14ac:dyDescent="0.3">
      <c r="A2" s="8" t="s">
        <v>2</v>
      </c>
      <c r="B2" s="8" t="s">
        <v>3</v>
      </c>
    </row>
    <row r="3" spans="1:2" x14ac:dyDescent="0.3">
      <c r="A3" s="1" t="s">
        <v>0</v>
      </c>
      <c r="B3" s="9" t="str" cm="1">
        <f t="array" ref="B3">FruitDictionary(A3)</f>
        <v>apple</v>
      </c>
    </row>
  </sheetData>
  <mergeCells count="1">
    <mergeCell ref="A1:B1"/>
  </mergeCells>
  <dataValidations count="1">
    <dataValidation type="list" allowBlank="1" showInputMessage="1" showErrorMessage="1" sqref="A3" xr:uid="{645406CE-4486-406C-AF0A-C4F442FDA190}">
      <formula1>"яблуко,помаранч,слива,полуниця,"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B2C67-86B6-4746-AD3E-7B2EA8873F0B}">
  <sheetPr codeName="Аркуш2"/>
  <dimension ref="A1:F9"/>
  <sheetViews>
    <sheetView workbookViewId="0">
      <selection activeCell="I6" sqref="I6"/>
    </sheetView>
  </sheetViews>
  <sheetFormatPr defaultColWidth="9.140625" defaultRowHeight="18.75" x14ac:dyDescent="0.3"/>
  <cols>
    <col min="1" max="1" width="33.42578125" style="2" customWidth="1"/>
    <col min="2" max="2" width="14.7109375" style="2" customWidth="1"/>
    <col min="3" max="3" width="17.85546875" style="2" customWidth="1"/>
    <col min="4" max="4" width="23.42578125" style="2" customWidth="1"/>
    <col min="5" max="5" width="11.42578125" style="2" customWidth="1"/>
    <col min="6" max="6" width="13.140625" style="2" customWidth="1"/>
    <col min="7" max="16384" width="9.140625" style="2"/>
  </cols>
  <sheetData>
    <row r="1" spans="1:6" ht="37.5" x14ac:dyDescent="0.3">
      <c r="A1" s="4" t="s">
        <v>4</v>
      </c>
      <c r="B1" s="4" t="s">
        <v>5</v>
      </c>
      <c r="C1" s="4" t="s">
        <v>6</v>
      </c>
      <c r="D1" s="4" t="s">
        <v>7</v>
      </c>
      <c r="E1" s="4" t="s">
        <v>8</v>
      </c>
      <c r="F1" s="4" t="s">
        <v>9</v>
      </c>
    </row>
    <row r="2" spans="1:6" x14ac:dyDescent="0.3">
      <c r="A2" s="3" t="s">
        <v>10</v>
      </c>
      <c r="B2" s="3" t="s">
        <v>18</v>
      </c>
      <c r="C2" s="3" t="str" cm="1">
        <f t="array" ref="C2">Mark(B2)</f>
        <v>кг</v>
      </c>
      <c r="D2" s="5">
        <v>7.3</v>
      </c>
      <c r="E2" s="7">
        <v>2</v>
      </c>
      <c r="F2" s="3" cm="1">
        <f t="array" ref="F2">Bonus(E2,D2)</f>
        <v>14.6</v>
      </c>
    </row>
    <row r="3" spans="1:6" x14ac:dyDescent="0.3">
      <c r="A3" s="3" t="s">
        <v>11</v>
      </c>
      <c r="B3" s="3" t="s">
        <v>19</v>
      </c>
      <c r="C3" s="3" t="str" cm="1">
        <f t="array" ref="C3">Mark(B3)</f>
        <v>упаковка</v>
      </c>
      <c r="D3" s="5">
        <v>30.9</v>
      </c>
      <c r="E3" s="7">
        <v>1</v>
      </c>
      <c r="F3" s="3" cm="1">
        <f t="array" ref="F3">Bonus(E3,D3)</f>
        <v>30.9</v>
      </c>
    </row>
    <row r="4" spans="1:6" x14ac:dyDescent="0.3">
      <c r="A4" s="3" t="s">
        <v>12</v>
      </c>
      <c r="B4" s="3" t="s">
        <v>18</v>
      </c>
      <c r="C4" s="3" t="str" cm="1">
        <f t="array" ref="C4">Mark(B4)</f>
        <v>кг</v>
      </c>
      <c r="D4" s="5">
        <v>10.3</v>
      </c>
      <c r="E4" s="7">
        <v>14</v>
      </c>
      <c r="F4" s="3" cm="1">
        <f t="array" ref="F4">Bonus(E4,D4)</f>
        <v>143.22000000000003</v>
      </c>
    </row>
    <row r="5" spans="1:6" x14ac:dyDescent="0.3">
      <c r="A5" s="3" t="s">
        <v>13</v>
      </c>
      <c r="B5" s="3" t="s">
        <v>20</v>
      </c>
      <c r="C5" s="3" t="str" cm="1">
        <f t="array" ref="C5">Mark(B5)</f>
        <v>чашка</v>
      </c>
      <c r="D5" s="5">
        <v>80.900000000000006</v>
      </c>
      <c r="E5" s="7">
        <v>4</v>
      </c>
      <c r="F5" s="3" cm="1">
        <f t="array" ref="F5">Bonus(E5,D5)</f>
        <v>323.60000000000002</v>
      </c>
    </row>
    <row r="6" spans="1:6" ht="19.5" customHeight="1" x14ac:dyDescent="0.3">
      <c r="A6" s="3" t="s">
        <v>14</v>
      </c>
      <c r="B6" s="3" t="s">
        <v>19</v>
      </c>
      <c r="C6" s="3" t="str" cm="1">
        <f t="array" ref="C6">Mark(B6)</f>
        <v>упаковка</v>
      </c>
      <c r="D6" s="5">
        <v>12</v>
      </c>
      <c r="E6" s="7">
        <v>5</v>
      </c>
      <c r="F6" s="3" cm="1">
        <f t="array" ref="F6">Bonus(E6,D6)</f>
        <v>60</v>
      </c>
    </row>
    <row r="7" spans="1:6" x14ac:dyDescent="0.3">
      <c r="A7" s="3" t="s">
        <v>15</v>
      </c>
      <c r="B7" s="3" t="s">
        <v>19</v>
      </c>
      <c r="C7" s="3" t="str" cm="1">
        <f t="array" ref="C7">Mark(B7)</f>
        <v>упаковка</v>
      </c>
      <c r="D7" s="5">
        <v>15.9</v>
      </c>
      <c r="E7" s="7">
        <v>3</v>
      </c>
      <c r="F7" s="3" cm="1">
        <f t="array" ref="F7">Bonus(E7,D7)</f>
        <v>47.7</v>
      </c>
    </row>
    <row r="8" spans="1:6" ht="18.75" customHeight="1" x14ac:dyDescent="0.3">
      <c r="A8" s="3" t="s">
        <v>16</v>
      </c>
      <c r="B8" s="3" t="s">
        <v>22</v>
      </c>
      <c r="C8" s="3" t="str" cm="1">
        <f t="array" ref="C8">Mark(B8)</f>
        <v>шт</v>
      </c>
      <c r="D8" s="5">
        <v>8.1999999999999993</v>
      </c>
      <c r="E8" s="7">
        <v>8</v>
      </c>
      <c r="F8" s="3" cm="1">
        <f t="array" ref="F8">Bonus(E8,D8)</f>
        <v>65.44</v>
      </c>
    </row>
    <row r="9" spans="1:6" x14ac:dyDescent="0.3">
      <c r="A9" s="3" t="s">
        <v>17</v>
      </c>
      <c r="B9" s="3" t="s">
        <v>21</v>
      </c>
      <c r="C9" s="3" t="str" cm="1">
        <f t="array" ref="C9">Mark(B9)</f>
        <v>пляшка</v>
      </c>
      <c r="D9" s="6">
        <v>35.9</v>
      </c>
      <c r="E9" s="7">
        <v>3</v>
      </c>
      <c r="F9" s="3" cm="1">
        <f t="array" ref="F9">Bonus(E9,D9)</f>
        <v>107.69999999999999</v>
      </c>
    </row>
  </sheetData>
  <dataValidations count="1">
    <dataValidation type="list" allowBlank="1" showInputMessage="1" showErrorMessage="1" sqref="B2:B9" xr:uid="{370A162B-6847-40F4-9698-1F88CA6EC992}">
      <formula1>"крупа,овочі,хліб,напій,олія"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E898F-2996-44A3-BA0B-3FF5AAC8C2E3}">
  <sheetPr codeName="Аркуш3"/>
  <dimension ref="A1:B9"/>
  <sheetViews>
    <sheetView workbookViewId="0">
      <selection activeCell="C27" sqref="C27"/>
    </sheetView>
  </sheetViews>
  <sheetFormatPr defaultColWidth="9.140625" defaultRowHeight="18.75" x14ac:dyDescent="0.3"/>
  <cols>
    <col min="1" max="1" width="30.140625" style="10" customWidth="1"/>
    <col min="2" max="2" width="21" style="10" customWidth="1"/>
    <col min="3" max="16384" width="9.140625" style="10"/>
  </cols>
  <sheetData>
    <row r="1" spans="1:2" ht="60.75" customHeight="1" x14ac:dyDescent="0.3">
      <c r="A1" s="12" t="s">
        <v>23</v>
      </c>
      <c r="B1" s="12" t="s">
        <v>24</v>
      </c>
    </row>
    <row r="2" spans="1:2" ht="18.75" customHeight="1" x14ac:dyDescent="0.3">
      <c r="A2" s="13" t="s">
        <v>25</v>
      </c>
      <c r="B2" s="3">
        <v>-2449</v>
      </c>
    </row>
    <row r="3" spans="1:2" ht="18.75" customHeight="1" x14ac:dyDescent="0.3">
      <c r="A3" s="13" t="s">
        <v>26</v>
      </c>
      <c r="B3" s="3">
        <v>-4105</v>
      </c>
    </row>
    <row r="4" spans="1:2" x14ac:dyDescent="0.3">
      <c r="A4" s="13" t="s">
        <v>29</v>
      </c>
      <c r="B4" s="3">
        <v>-3131</v>
      </c>
    </row>
    <row r="5" spans="1:2" x14ac:dyDescent="0.3">
      <c r="A5" s="13" t="s">
        <v>30</v>
      </c>
      <c r="B5" s="3">
        <v>-4641</v>
      </c>
    </row>
    <row r="6" spans="1:2" x14ac:dyDescent="0.3">
      <c r="A6" s="13" t="s">
        <v>27</v>
      </c>
      <c r="B6" s="3">
        <v>-3223</v>
      </c>
    </row>
    <row r="7" spans="1:2" x14ac:dyDescent="0.3">
      <c r="A7" s="13" t="s">
        <v>28</v>
      </c>
      <c r="B7" s="3">
        <v>-2160</v>
      </c>
    </row>
    <row r="8" spans="1:2" x14ac:dyDescent="0.3">
      <c r="A8" s="13" t="s">
        <v>31</v>
      </c>
      <c r="B8" s="3">
        <v>-5313</v>
      </c>
    </row>
    <row r="9" spans="1:2" x14ac:dyDescent="0.3">
      <c r="A9" s="13" t="s">
        <v>32</v>
      </c>
      <c r="B9" s="3">
        <v>-4788</v>
      </c>
    </row>
  </sheetData>
  <phoneticPr fontId="3" type="noConversion"/>
  <conditionalFormatting sqref="B2:B9">
    <cfRule type="dataBar" priority="1">
      <dataBar>
        <cfvo type="percentile" val="1"/>
        <cfvo type="percentile" val="100"/>
        <color rgb="FFFF555A"/>
      </dataBar>
      <extLst>
        <ext xmlns:x14="http://schemas.microsoft.com/office/spreadsheetml/2009/9/main" uri="{B025F937-C7B1-47D3-B67F-A62EFF666E3E}">
          <x14:id>{2B278666-8FC1-495D-A0D6-569D5AE8D4B0}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278666-8FC1-495D-A0D6-569D5AE8D4B0}">
            <x14:dataBar minLength="0" maxLength="100" border="1" negativeBarBorderColorSameAsPositive="0" axisPosition="none">
              <x14:cfvo type="percentile">
                <xm:f>1</xm:f>
              </x14:cfvo>
              <x14:cfvo type="percentile">
                <xm:f>100</xm:f>
              </x14:cfvo>
              <x14:borderColor rgb="FFFF555A"/>
              <x14:negativeFillColor rgb="FFFF0000"/>
              <x14:negativeBorderColor rgb="FFFF0000"/>
            </x14:dataBar>
          </x14:cfRule>
          <xm:sqref>B2:B9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E4EC0-A9B8-42D5-AF16-F6E626941A01}">
  <dimension ref="A1:E8"/>
  <sheetViews>
    <sheetView workbookViewId="0">
      <selection activeCell="J10" sqref="J10"/>
    </sheetView>
  </sheetViews>
  <sheetFormatPr defaultColWidth="9.140625" defaultRowHeight="18.75" x14ac:dyDescent="0.3"/>
  <cols>
    <col min="1" max="2" width="16" style="2" customWidth="1"/>
    <col min="3" max="3" width="9.140625" style="2"/>
    <col min="4" max="4" width="18.7109375" style="2" customWidth="1"/>
    <col min="5" max="5" width="13" style="2" customWidth="1"/>
    <col min="6" max="16384" width="9.140625" style="2"/>
  </cols>
  <sheetData>
    <row r="1" spans="1:5" x14ac:dyDescent="0.3">
      <c r="A1" s="14" t="s">
        <v>33</v>
      </c>
      <c r="B1" s="14" t="s">
        <v>34</v>
      </c>
      <c r="D1" s="1" t="s">
        <v>42</v>
      </c>
      <c r="E1" s="1" t="s">
        <v>46</v>
      </c>
    </row>
    <row r="2" spans="1:5" x14ac:dyDescent="0.3">
      <c r="A2" s="1" t="s">
        <v>35</v>
      </c>
      <c r="B2" s="14">
        <v>1000</v>
      </c>
      <c r="D2" s="1" t="s">
        <v>43</v>
      </c>
      <c r="E2" s="1">
        <f>COUNTIF(B2:B8,"&gt;1000")</f>
        <v>6</v>
      </c>
    </row>
    <row r="3" spans="1:5" x14ac:dyDescent="0.3">
      <c r="A3" s="2" t="s">
        <v>40</v>
      </c>
      <c r="B3" s="14">
        <v>2000</v>
      </c>
      <c r="D3" s="1" t="s">
        <v>44</v>
      </c>
      <c r="E3" s="1">
        <f>COUNTIF(B2:B8,"&lt;1000")</f>
        <v>0</v>
      </c>
    </row>
    <row r="4" spans="1:5" x14ac:dyDescent="0.3">
      <c r="A4" s="1" t="s">
        <v>36</v>
      </c>
      <c r="B4" s="14">
        <v>3000</v>
      </c>
      <c r="D4" s="1" t="s">
        <v>45</v>
      </c>
      <c r="E4" s="1">
        <f>COUNTIF(B2:B8,"=1000")</f>
        <v>1</v>
      </c>
    </row>
    <row r="5" spans="1:5" x14ac:dyDescent="0.3">
      <c r="A5" s="1" t="s">
        <v>37</v>
      </c>
      <c r="B5" s="14">
        <v>1500</v>
      </c>
    </row>
    <row r="6" spans="1:5" x14ac:dyDescent="0.3">
      <c r="A6" s="1" t="s">
        <v>38</v>
      </c>
      <c r="B6" s="14">
        <v>2300</v>
      </c>
    </row>
    <row r="7" spans="1:5" x14ac:dyDescent="0.3">
      <c r="A7" s="1" t="s">
        <v>39</v>
      </c>
      <c r="B7" s="14">
        <v>2500</v>
      </c>
    </row>
    <row r="8" spans="1:5" x14ac:dyDescent="0.3">
      <c r="A8" s="1" t="s">
        <v>41</v>
      </c>
      <c r="B8" s="14">
        <v>2900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7794-6BFE-4156-BEF0-7D28187E3774}">
  <dimension ref="A1:F8"/>
  <sheetViews>
    <sheetView workbookViewId="0">
      <selection activeCell="F6" sqref="F6"/>
    </sheetView>
  </sheetViews>
  <sheetFormatPr defaultColWidth="9.140625" defaultRowHeight="18.75" x14ac:dyDescent="0.3"/>
  <cols>
    <col min="1" max="1" width="16.28515625" style="10" customWidth="1"/>
    <col min="2" max="2" width="14.42578125" style="10" customWidth="1"/>
    <col min="3" max="3" width="12.5703125" style="10" customWidth="1"/>
    <col min="4" max="4" width="12.7109375" style="10" customWidth="1"/>
    <col min="5" max="6" width="25.85546875" style="10" customWidth="1"/>
    <col min="7" max="16384" width="9.140625" style="10"/>
  </cols>
  <sheetData>
    <row r="1" spans="1:6" ht="132.75" customHeight="1" x14ac:dyDescent="0.3">
      <c r="A1" s="11" t="s">
        <v>47</v>
      </c>
      <c r="B1" s="11" t="s">
        <v>48</v>
      </c>
      <c r="C1" s="11" t="s">
        <v>49</v>
      </c>
      <c r="D1" s="11" t="s">
        <v>50</v>
      </c>
      <c r="E1" s="11" t="s">
        <v>51</v>
      </c>
      <c r="F1" s="11" t="s">
        <v>52</v>
      </c>
    </row>
    <row r="2" spans="1:6" x14ac:dyDescent="0.3">
      <c r="A2" s="11" t="s">
        <v>35</v>
      </c>
      <c r="B2" s="11">
        <v>1000</v>
      </c>
      <c r="C2" s="11">
        <v>100</v>
      </c>
      <c r="D2" s="11">
        <f>B2+C2</f>
        <v>1100</v>
      </c>
      <c r="E2" s="11">
        <f>SUMIF(C2:C8,"&gt;0",D2:D8)</f>
        <v>7560</v>
      </c>
      <c r="F2" s="11">
        <f>SUMIF(C2:C8,"",D2:D8)</f>
        <v>8200</v>
      </c>
    </row>
    <row r="3" spans="1:6" x14ac:dyDescent="0.3">
      <c r="A3" s="11" t="s">
        <v>40</v>
      </c>
      <c r="B3" s="11">
        <v>2000</v>
      </c>
      <c r="C3" s="11">
        <v>150</v>
      </c>
      <c r="D3" s="11">
        <f t="shared" ref="D3:D8" si="0">B3+C3</f>
        <v>2150</v>
      </c>
      <c r="E3" s="21" t="s">
        <v>53</v>
      </c>
      <c r="F3" s="21" t="s">
        <v>54</v>
      </c>
    </row>
    <row r="4" spans="1:6" x14ac:dyDescent="0.3">
      <c r="A4" s="11" t="s">
        <v>36</v>
      </c>
      <c r="B4" s="11">
        <v>3000</v>
      </c>
      <c r="C4" s="11"/>
      <c r="D4" s="11">
        <f t="shared" si="0"/>
        <v>3000</v>
      </c>
      <c r="E4" s="22"/>
      <c r="F4" s="22"/>
    </row>
    <row r="5" spans="1:6" x14ac:dyDescent="0.3">
      <c r="A5" s="11" t="s">
        <v>37</v>
      </c>
      <c r="B5" s="11">
        <v>1500</v>
      </c>
      <c r="C5" s="11">
        <v>130</v>
      </c>
      <c r="D5" s="11">
        <f t="shared" si="0"/>
        <v>1630</v>
      </c>
      <c r="E5" s="23"/>
      <c r="F5" s="23"/>
    </row>
    <row r="6" spans="1:6" x14ac:dyDescent="0.3">
      <c r="A6" s="11" t="s">
        <v>38</v>
      </c>
      <c r="B6" s="11">
        <v>2300</v>
      </c>
      <c r="C6" s="11"/>
      <c r="D6" s="11">
        <f t="shared" si="0"/>
        <v>2300</v>
      </c>
      <c r="E6" s="11">
        <f>COUNTIF(C2:C8,"&gt;0")</f>
        <v>4</v>
      </c>
      <c r="F6" s="11">
        <f>COUNTIF(C2:C8,"")</f>
        <v>3</v>
      </c>
    </row>
    <row r="7" spans="1:6" x14ac:dyDescent="0.3">
      <c r="A7" s="11" t="s">
        <v>39</v>
      </c>
      <c r="B7" s="11">
        <v>2500</v>
      </c>
      <c r="C7" s="11">
        <v>180</v>
      </c>
      <c r="D7" s="11">
        <f t="shared" si="0"/>
        <v>2680</v>
      </c>
      <c r="E7" s="15"/>
      <c r="F7" s="15"/>
    </row>
    <row r="8" spans="1:6" x14ac:dyDescent="0.3">
      <c r="A8" s="11" t="s">
        <v>41</v>
      </c>
      <c r="B8" s="11">
        <v>2900</v>
      </c>
      <c r="C8" s="11"/>
      <c r="D8" s="11">
        <f t="shared" si="0"/>
        <v>2900</v>
      </c>
      <c r="E8" s="15"/>
      <c r="F8" s="15"/>
    </row>
  </sheetData>
  <mergeCells count="2">
    <mergeCell ref="E3:E5"/>
    <mergeCell ref="F3:F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F583-9E84-4507-B23D-061B4EF76662}">
  <dimension ref="A1:E8"/>
  <sheetViews>
    <sheetView workbookViewId="0">
      <selection activeCell="E12" sqref="E12"/>
    </sheetView>
  </sheetViews>
  <sheetFormatPr defaultColWidth="8.85546875" defaultRowHeight="18.75" x14ac:dyDescent="0.3"/>
  <cols>
    <col min="1" max="1" width="17.28515625" style="10" customWidth="1"/>
    <col min="2" max="2" width="22.85546875" style="10" customWidth="1"/>
    <col min="3" max="5" width="17.85546875" style="10" customWidth="1"/>
    <col min="6" max="16384" width="8.85546875" style="10"/>
  </cols>
  <sheetData>
    <row r="1" spans="1:5" x14ac:dyDescent="0.3">
      <c r="A1" s="29" t="s">
        <v>62</v>
      </c>
      <c r="B1" s="30"/>
      <c r="C1" s="27"/>
      <c r="D1" s="24">
        <v>12.5</v>
      </c>
      <c r="E1" s="25"/>
    </row>
    <row r="2" spans="1:5" x14ac:dyDescent="0.3">
      <c r="A2" s="29" t="s">
        <v>64</v>
      </c>
      <c r="B2" s="30"/>
      <c r="C2" s="27"/>
      <c r="D2" s="26">
        <v>3.2000000000000001E-2</v>
      </c>
      <c r="E2" s="27"/>
    </row>
    <row r="3" spans="1:5" x14ac:dyDescent="0.3">
      <c r="A3" s="29" t="s">
        <v>63</v>
      </c>
      <c r="B3" s="30"/>
      <c r="C3" s="27"/>
      <c r="D3" s="28">
        <v>0.05</v>
      </c>
      <c r="E3" s="27"/>
    </row>
    <row r="4" spans="1:5" x14ac:dyDescent="0.3">
      <c r="A4" s="3"/>
      <c r="B4" s="3"/>
      <c r="C4" s="3"/>
      <c r="D4" s="3"/>
      <c r="E4" s="3"/>
    </row>
    <row r="5" spans="1:5" ht="75" x14ac:dyDescent="0.3">
      <c r="A5" s="16" t="s">
        <v>55</v>
      </c>
      <c r="B5" s="16" t="s">
        <v>56</v>
      </c>
      <c r="C5" s="16" t="s">
        <v>57</v>
      </c>
      <c r="D5" s="16" t="s">
        <v>58</v>
      </c>
      <c r="E5" s="16" t="s">
        <v>59</v>
      </c>
    </row>
    <row r="6" spans="1:5" x14ac:dyDescent="0.3">
      <c r="A6" s="3" t="s">
        <v>35</v>
      </c>
      <c r="B6" s="3" t="s">
        <v>60</v>
      </c>
      <c r="C6" s="3">
        <v>125</v>
      </c>
      <c r="D6" s="3">
        <f>C6*D1</f>
        <v>1562.5</v>
      </c>
      <c r="E6" s="3">
        <f>IF(B6="пломбір",D6*D2+D6,D6*D3+D6)</f>
        <v>1612.5</v>
      </c>
    </row>
    <row r="7" spans="1:5" ht="37.5" x14ac:dyDescent="0.3">
      <c r="A7" s="3" t="s">
        <v>40</v>
      </c>
      <c r="B7" s="3" t="s">
        <v>61</v>
      </c>
      <c r="C7" s="3">
        <v>130</v>
      </c>
      <c r="D7" s="3">
        <f>C7*D1</f>
        <v>1625</v>
      </c>
      <c r="E7" s="3">
        <f>IF(B7="пломбір",D7*D2+D7,D7*D3+D7)</f>
        <v>1706.25</v>
      </c>
    </row>
    <row r="8" spans="1:5" x14ac:dyDescent="0.3">
      <c r="A8" s="3" t="s">
        <v>36</v>
      </c>
      <c r="B8" s="3" t="s">
        <v>60</v>
      </c>
      <c r="C8" s="3">
        <v>210</v>
      </c>
      <c r="D8" s="3">
        <f>C8*D1</f>
        <v>2625</v>
      </c>
      <c r="E8" s="3">
        <f>IF(B8="пломбір",D8*D2+D8,D8*D3+D8)</f>
        <v>2709</v>
      </c>
    </row>
  </sheetData>
  <mergeCells count="6">
    <mergeCell ref="D1:E1"/>
    <mergeCell ref="D2:E2"/>
    <mergeCell ref="D3:E3"/>
    <mergeCell ref="A1:C1"/>
    <mergeCell ref="A2:C2"/>
    <mergeCell ref="A3:C3"/>
  </mergeCells>
  <pageMargins left="0.7" right="0.7" top="0.75" bottom="0.75" header="0.3" footer="0.3"/>
  <pageSetup orientation="portrait" r:id="rId1"/>
  <ignoredErrors>
    <ignoredError sqref="E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C827-63B5-44C0-9BD7-27F1605DE289}">
  <sheetPr codeName="Аркуш4"/>
  <dimension ref="A1:N9"/>
  <sheetViews>
    <sheetView tabSelected="1" topLeftCell="B1" workbookViewId="0">
      <selection activeCell="R11" sqref="R11"/>
    </sheetView>
  </sheetViews>
  <sheetFormatPr defaultColWidth="8.85546875" defaultRowHeight="18.75" x14ac:dyDescent="0.3"/>
  <cols>
    <col min="1" max="1" width="5.7109375" style="2" customWidth="1"/>
    <col min="2" max="2" width="27.7109375" style="2" customWidth="1"/>
    <col min="3" max="3" width="16.7109375" style="2" customWidth="1"/>
    <col min="4" max="16384" width="8.85546875" style="2"/>
  </cols>
  <sheetData>
    <row r="1" spans="1:14" ht="37.15" customHeight="1" x14ac:dyDescent="0.3">
      <c r="A1" s="11" t="s">
        <v>65</v>
      </c>
      <c r="B1" s="11" t="s">
        <v>66</v>
      </c>
      <c r="C1" s="11" t="s">
        <v>67</v>
      </c>
      <c r="D1" s="19">
        <v>43831</v>
      </c>
      <c r="E1" s="19">
        <v>44197</v>
      </c>
      <c r="F1" s="19">
        <v>44562</v>
      </c>
      <c r="G1" s="19">
        <v>44927</v>
      </c>
      <c r="H1" s="19">
        <v>45292</v>
      </c>
      <c r="I1" s="19">
        <v>45658</v>
      </c>
      <c r="J1" s="19">
        <v>46023</v>
      </c>
      <c r="K1" s="19">
        <v>46388</v>
      </c>
      <c r="L1" s="19">
        <v>46753</v>
      </c>
      <c r="M1" s="19">
        <v>47119</v>
      </c>
      <c r="N1" s="19">
        <v>47484</v>
      </c>
    </row>
    <row r="2" spans="1:14" x14ac:dyDescent="0.3">
      <c r="A2" s="17">
        <v>1</v>
      </c>
      <c r="B2" s="3" t="s">
        <v>68</v>
      </c>
      <c r="C2" s="18">
        <v>27169</v>
      </c>
      <c r="D2" s="3">
        <f>(YEAR(D1)-YEAR(C2))</f>
        <v>46</v>
      </c>
      <c r="E2" s="31">
        <f>D2+1</f>
        <v>47</v>
      </c>
      <c r="F2" s="31">
        <f t="shared" ref="F2:N2" si="0">E2+1</f>
        <v>48</v>
      </c>
      <c r="G2" s="31">
        <f t="shared" si="0"/>
        <v>49</v>
      </c>
      <c r="H2" s="31">
        <f t="shared" si="0"/>
        <v>50</v>
      </c>
      <c r="I2" s="31">
        <f t="shared" si="0"/>
        <v>51</v>
      </c>
      <c r="J2" s="31">
        <f t="shared" si="0"/>
        <v>52</v>
      </c>
      <c r="K2" s="31">
        <f t="shared" si="0"/>
        <v>53</v>
      </c>
      <c r="L2" s="31">
        <f t="shared" si="0"/>
        <v>54</v>
      </c>
      <c r="M2" s="31">
        <f t="shared" si="0"/>
        <v>55</v>
      </c>
      <c r="N2" s="31">
        <f t="shared" si="0"/>
        <v>56</v>
      </c>
    </row>
    <row r="3" spans="1:14" ht="18" customHeight="1" x14ac:dyDescent="0.3">
      <c r="A3" s="17">
        <v>2</v>
      </c>
      <c r="B3" s="3" t="s">
        <v>69</v>
      </c>
      <c r="C3" s="18">
        <v>28178</v>
      </c>
      <c r="D3" s="3">
        <f>(YEAR(D1)-YEAR(C3))</f>
        <v>43</v>
      </c>
      <c r="E3" s="31">
        <f t="shared" ref="E3:N3" si="1">D3+1</f>
        <v>44</v>
      </c>
      <c r="F3" s="31">
        <f t="shared" si="1"/>
        <v>45</v>
      </c>
      <c r="G3" s="31">
        <f t="shared" si="1"/>
        <v>46</v>
      </c>
      <c r="H3" s="31">
        <f t="shared" si="1"/>
        <v>47</v>
      </c>
      <c r="I3" s="31">
        <f t="shared" si="1"/>
        <v>48</v>
      </c>
      <c r="J3" s="31">
        <f t="shared" si="1"/>
        <v>49</v>
      </c>
      <c r="K3" s="31">
        <f t="shared" si="1"/>
        <v>50</v>
      </c>
      <c r="L3" s="31">
        <f t="shared" si="1"/>
        <v>51</v>
      </c>
      <c r="M3" s="31">
        <f t="shared" si="1"/>
        <v>52</v>
      </c>
      <c r="N3" s="31">
        <f t="shared" si="1"/>
        <v>53</v>
      </c>
    </row>
    <row r="4" spans="1:14" x14ac:dyDescent="0.3">
      <c r="A4" s="17">
        <v>3</v>
      </c>
      <c r="B4" s="3" t="s">
        <v>70</v>
      </c>
      <c r="C4" s="18">
        <v>30601</v>
      </c>
      <c r="D4" s="3">
        <f>(YEAR(D1)-YEAR(C4))</f>
        <v>37</v>
      </c>
      <c r="E4" s="31">
        <f t="shared" ref="E4:N4" si="2">D4+1</f>
        <v>38</v>
      </c>
      <c r="F4" s="31">
        <f t="shared" si="2"/>
        <v>39</v>
      </c>
      <c r="G4" s="31">
        <f t="shared" si="2"/>
        <v>40</v>
      </c>
      <c r="H4" s="31">
        <f t="shared" si="2"/>
        <v>41</v>
      </c>
      <c r="I4" s="31">
        <f t="shared" si="2"/>
        <v>42</v>
      </c>
      <c r="J4" s="31">
        <f t="shared" si="2"/>
        <v>43</v>
      </c>
      <c r="K4" s="31">
        <f t="shared" si="2"/>
        <v>44</v>
      </c>
      <c r="L4" s="31">
        <f t="shared" si="2"/>
        <v>45</v>
      </c>
      <c r="M4" s="31">
        <f t="shared" si="2"/>
        <v>46</v>
      </c>
      <c r="N4" s="31">
        <f t="shared" si="2"/>
        <v>47</v>
      </c>
    </row>
    <row r="5" spans="1:14" x14ac:dyDescent="0.3">
      <c r="A5" s="17">
        <v>4</v>
      </c>
      <c r="B5" s="3" t="s">
        <v>71</v>
      </c>
      <c r="C5" s="18">
        <v>29772</v>
      </c>
      <c r="D5" s="3">
        <f>(YEAR(D1)-YEAR(C5))</f>
        <v>39</v>
      </c>
      <c r="E5" s="31">
        <f t="shared" ref="E5:N5" si="3">D5+1</f>
        <v>40</v>
      </c>
      <c r="F5" s="31">
        <f t="shared" si="3"/>
        <v>41</v>
      </c>
      <c r="G5" s="31">
        <f t="shared" si="3"/>
        <v>42</v>
      </c>
      <c r="H5" s="31">
        <f t="shared" si="3"/>
        <v>43</v>
      </c>
      <c r="I5" s="31">
        <f t="shared" si="3"/>
        <v>44</v>
      </c>
      <c r="J5" s="31">
        <f t="shared" si="3"/>
        <v>45</v>
      </c>
      <c r="K5" s="31">
        <f t="shared" si="3"/>
        <v>46</v>
      </c>
      <c r="L5" s="31">
        <f t="shared" si="3"/>
        <v>47</v>
      </c>
      <c r="M5" s="31">
        <f t="shared" si="3"/>
        <v>48</v>
      </c>
      <c r="N5" s="31">
        <f t="shared" si="3"/>
        <v>49</v>
      </c>
    </row>
    <row r="6" spans="1:14" x14ac:dyDescent="0.3">
      <c r="A6" s="17">
        <v>5</v>
      </c>
      <c r="B6" s="3" t="s">
        <v>72</v>
      </c>
      <c r="C6" s="18">
        <v>29753</v>
      </c>
      <c r="D6" s="3">
        <f>(YEAR(D1)-YEAR(C6))</f>
        <v>39</v>
      </c>
      <c r="E6" s="31">
        <f t="shared" ref="E6:N6" si="4">D6+1</f>
        <v>40</v>
      </c>
      <c r="F6" s="31">
        <f t="shared" si="4"/>
        <v>41</v>
      </c>
      <c r="G6" s="31">
        <f t="shared" si="4"/>
        <v>42</v>
      </c>
      <c r="H6" s="31">
        <f t="shared" si="4"/>
        <v>43</v>
      </c>
      <c r="I6" s="31">
        <f t="shared" si="4"/>
        <v>44</v>
      </c>
      <c r="J6" s="31">
        <f t="shared" si="4"/>
        <v>45</v>
      </c>
      <c r="K6" s="31">
        <f t="shared" si="4"/>
        <v>46</v>
      </c>
      <c r="L6" s="31">
        <f t="shared" si="4"/>
        <v>47</v>
      </c>
      <c r="M6" s="31">
        <f t="shared" si="4"/>
        <v>48</v>
      </c>
      <c r="N6" s="31">
        <f t="shared" si="4"/>
        <v>49</v>
      </c>
    </row>
    <row r="7" spans="1:14" x14ac:dyDescent="0.3">
      <c r="A7" s="17">
        <v>6</v>
      </c>
      <c r="B7" s="3" t="s">
        <v>73</v>
      </c>
      <c r="C7" s="18">
        <v>34354</v>
      </c>
      <c r="D7" s="3">
        <f>(YEAR(D1)-YEAR(C7))</f>
        <v>26</v>
      </c>
      <c r="E7" s="31">
        <f t="shared" ref="E7:N7" si="5">D7+1</f>
        <v>27</v>
      </c>
      <c r="F7" s="31">
        <f t="shared" si="5"/>
        <v>28</v>
      </c>
      <c r="G7" s="31">
        <f t="shared" si="5"/>
        <v>29</v>
      </c>
      <c r="H7" s="31">
        <f t="shared" si="5"/>
        <v>30</v>
      </c>
      <c r="I7" s="31">
        <f t="shared" si="5"/>
        <v>31</v>
      </c>
      <c r="J7" s="31">
        <f t="shared" si="5"/>
        <v>32</v>
      </c>
      <c r="K7" s="31">
        <f t="shared" si="5"/>
        <v>33</v>
      </c>
      <c r="L7" s="31">
        <f t="shared" si="5"/>
        <v>34</v>
      </c>
      <c r="M7" s="31">
        <f t="shared" si="5"/>
        <v>35</v>
      </c>
      <c r="N7" s="31">
        <f t="shared" si="5"/>
        <v>36</v>
      </c>
    </row>
    <row r="8" spans="1:14" x14ac:dyDescent="0.3">
      <c r="A8" s="17">
        <v>7</v>
      </c>
      <c r="B8" s="3" t="s">
        <v>74</v>
      </c>
      <c r="C8" s="18">
        <v>33346</v>
      </c>
      <c r="D8" s="3">
        <f>(YEAR(D1)-YEAR(C8))</f>
        <v>29</v>
      </c>
      <c r="E8" s="31">
        <f t="shared" ref="E8:N8" si="6">D8+1</f>
        <v>30</v>
      </c>
      <c r="F8" s="31">
        <f t="shared" si="6"/>
        <v>31</v>
      </c>
      <c r="G8" s="31">
        <f t="shared" si="6"/>
        <v>32</v>
      </c>
      <c r="H8" s="31">
        <f t="shared" si="6"/>
        <v>33</v>
      </c>
      <c r="I8" s="31">
        <f t="shared" si="6"/>
        <v>34</v>
      </c>
      <c r="J8" s="31">
        <f t="shared" si="6"/>
        <v>35</v>
      </c>
      <c r="K8" s="31">
        <f t="shared" si="6"/>
        <v>36</v>
      </c>
      <c r="L8" s="31">
        <f t="shared" si="6"/>
        <v>37</v>
      </c>
      <c r="M8" s="31">
        <f t="shared" si="6"/>
        <v>38</v>
      </c>
      <c r="N8" s="31">
        <f t="shared" si="6"/>
        <v>39</v>
      </c>
    </row>
    <row r="9" spans="1:14" x14ac:dyDescent="0.3">
      <c r="A9" s="17">
        <v>8</v>
      </c>
      <c r="B9" s="3" t="s">
        <v>75</v>
      </c>
      <c r="C9" s="18">
        <v>29224</v>
      </c>
      <c r="D9" s="3">
        <f>(YEAR(D1)-YEAR(C9))</f>
        <v>40</v>
      </c>
      <c r="E9" s="31">
        <f t="shared" ref="E9:N9" si="7">D9+1</f>
        <v>41</v>
      </c>
      <c r="F9" s="31">
        <f t="shared" si="7"/>
        <v>42</v>
      </c>
      <c r="G9" s="31">
        <f t="shared" si="7"/>
        <v>43</v>
      </c>
      <c r="H9" s="31">
        <f t="shared" si="7"/>
        <v>44</v>
      </c>
      <c r="I9" s="31">
        <f t="shared" si="7"/>
        <v>45</v>
      </c>
      <c r="J9" s="31">
        <f t="shared" si="7"/>
        <v>46</v>
      </c>
      <c r="K9" s="31">
        <f t="shared" si="7"/>
        <v>47</v>
      </c>
      <c r="L9" s="31">
        <f t="shared" si="7"/>
        <v>48</v>
      </c>
      <c r="M9" s="31">
        <f t="shared" si="7"/>
        <v>49</v>
      </c>
      <c r="N9" s="31">
        <f t="shared" si="7"/>
        <v>50</v>
      </c>
    </row>
  </sheetData>
  <conditionalFormatting sqref="D2:N9">
    <cfRule type="containsText" dxfId="0" priority="1" operator="containsText" text="0">
      <formula>NOT(ISERROR(SEARCH("0",D2)))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7</vt:i4>
      </vt:variant>
    </vt:vector>
  </HeadingPairs>
  <TitlesOfParts>
    <vt:vector size="7" baseType="lpstr">
      <vt:lpstr>ПР 8.1</vt:lpstr>
      <vt:lpstr>ПР 8.2</vt:lpstr>
      <vt:lpstr>ПР 9.1</vt:lpstr>
      <vt:lpstr>ПР 9.2</vt:lpstr>
      <vt:lpstr>ПР 9.3</vt:lpstr>
      <vt:lpstr>ПР 9.4</vt:lpstr>
      <vt:lpstr>ПР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Oleh Liubchenko</dc:creator>
  <cp:lastModifiedBy>Oleh Liubchenko</cp:lastModifiedBy>
  <dcterms:created xsi:type="dcterms:W3CDTF">2015-06-05T18:19:34Z</dcterms:created>
  <dcterms:modified xsi:type="dcterms:W3CDTF">2023-04-29T21:13:25Z</dcterms:modified>
</cp:coreProperties>
</file>